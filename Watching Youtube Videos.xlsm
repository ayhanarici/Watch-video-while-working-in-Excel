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1.bin" ContentType="application/vnd.ms-office.activeX"/>
  <Override PartName="/xl/activeX/activeX3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C:\Users\ayhan\OneDrive\Desktop\"/>
    </mc:Choice>
  </mc:AlternateContent>
  <bookViews>
    <workbookView xWindow="0" yWindow="0" windowWidth="21570" windowHeight="9615"/>
  </bookViews>
  <sheets>
    <sheet name="Sayfa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B5" i="1"/>
  <c r="E4" i="1"/>
  <c r="D4" i="1"/>
  <c r="E3" i="1"/>
  <c r="D3" i="1"/>
  <c r="E2" i="1"/>
  <c r="E5" i="1" s="1"/>
  <c r="D2" i="1"/>
</calcChain>
</file>

<file path=xl/sharedStrings.xml><?xml version="1.0" encoding="utf-8"?>
<sst xmlns="http://schemas.openxmlformats.org/spreadsheetml/2006/main" count="9" uniqueCount="9">
  <si>
    <t>TAHMİNİ</t>
  </si>
  <si>
    <t>GERÇEK</t>
  </si>
  <si>
    <t>FARK</t>
  </si>
  <si>
    <t>PERSONEL GİDERLERİ</t>
  </si>
  <si>
    <t>EN YÜKSEK 5 TUTAR</t>
  </si>
  <si>
    <t>Maaşlar</t>
  </si>
  <si>
    <t>Çalışan hakları</t>
  </si>
  <si>
    <t>Komisyon</t>
  </si>
  <si>
    <t>Toplam Personel Giderleri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</si>
</sst>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mm\ yyyy"/>
  </numFmts>
  <fonts count="2" x14ac:knownFonts="1">
    <font>
      <sz val="11"/>
      <color theme="1"/>
      <name val="Calibri"/>
      <family val="2"/>
      <charset val="162"/>
      <scheme val="minor"/>
    </font>
    <font>
      <sz val="11"/>
      <color theme="3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2" borderId="0" applyFill="0" applyBorder="0">
      <alignment horizontal="right"/>
    </xf>
  </cellStyleXfs>
  <cellXfs count="1">
    <xf numFmtId="0" fontId="0" fillId="0" borderId="0" xfId="0"/>
  </cellXfs>
  <cellStyles count="2">
    <cellStyle name="Normal" xfId="0" builtinId="0"/>
    <cellStyle name="Tarih" xfId="1"/>
  </cellStyles>
  <dxfs count="4">
    <dxf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 patternType="solid">
          <fgColor theme="4"/>
          <bgColor theme="5" tint="0.79998168889431442"/>
        </patternFill>
      </fill>
      <border>
        <top style="thin">
          <color theme="0"/>
        </top>
      </border>
    </dxf>
    <dxf>
      <font>
        <color theme="3"/>
      </font>
      <fill>
        <patternFill patternType="solid">
          <fgColor theme="4"/>
          <bgColor theme="7" tint="0.39994506668294322"/>
        </patternFill>
      </fill>
      <border>
        <bottom style="thin">
          <color theme="0"/>
        </bottom>
      </border>
    </dxf>
    <dxf>
      <font>
        <b val="0"/>
        <i val="0"/>
        <color theme="1"/>
      </font>
      <fill>
        <patternFill patternType="solid">
          <fgColor auto="1"/>
          <bgColor theme="6" tint="0.79995117038483843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1" defaultTableStyle="TableStyleMedium2" defaultPivotStyle="PivotStyleLight16">
    <tableStyle name="Aylık Bütçe" pivot="0" count="4">
      <tableStyleElement type="wholeTable" dxfId="3"/>
      <tableStyleElement type="headerRow" dxfId="2"/>
      <tableStyleElement type="totalRow" dxfId="1"/>
      <tableStyleElement type="lastColumn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BE31822-FDAD-461B-AD51-BE1D1C159921}" ax:persistence="persistPropertyBag">
  <ax:ocxPr ax:name="AutoLoop" ax:value="0"/>
  <ax:ocxPr ax:name="AutoPlay" ax:value="-1"/>
  <ax:ocxPr ax:name="Toolbar" ax:value="-1"/>
  <ax:ocxPr ax:name="ExtentWidth" ax:value="13996"/>
  <ax:ocxPr ax:name="ExtentHeight" ax:value="8969"/>
  <ax:ocxPr ax:name="MRL" ax:value=""/>
  <ax:ocxPr ax:name="Visible" ax:value="-1"/>
  <ax:ocxPr ax:name="Volume" ax:value="100"/>
  <ax:ocxPr ax:name="StartTime" ax:value="30"/>
  <ax:ocxPr ax:name="BaseURL" ax:value=""/>
  <ax:ocxPr ax:name="BackColor" ax:value="0"/>
  <ax:ocxPr ax:name="FullscreenEnabled" ax:value="-1"/>
  <ax:ocxPr ax:name="Branding" ax:value="-1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438150</xdr:colOff>
          <xdr:row>0</xdr:row>
          <xdr:rowOff>85725</xdr:rowOff>
        </xdr:from>
        <xdr:to>
          <xdr:col>8</xdr:col>
          <xdr:colOff>542925</xdr:colOff>
          <xdr:row>2</xdr:row>
          <xdr:rowOff>104775</xdr:rowOff>
        </xdr:to>
        <xdr:sp macro="" textlink="">
          <xdr:nvSpPr>
            <xdr:cNvPr id="1026" name="openVideo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0</xdr:row>
          <xdr:rowOff>85725</xdr:rowOff>
        </xdr:from>
        <xdr:to>
          <xdr:col>11</xdr:col>
          <xdr:colOff>142875</xdr:colOff>
          <xdr:row>2</xdr:row>
          <xdr:rowOff>104775</xdr:rowOff>
        </xdr:to>
        <xdr:sp macro="" textlink="">
          <xdr:nvSpPr>
            <xdr:cNvPr id="1027" name="stopVideo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7</xdr:col>
      <xdr:colOff>47625</xdr:colOff>
      <xdr:row>4</xdr:row>
      <xdr:rowOff>114300</xdr:rowOff>
    </xdr:from>
    <xdr:ext cx="184731" cy="264560"/>
    <xdr:sp macro="" textlink="">
      <xdr:nvSpPr>
        <xdr:cNvPr id="2" name="Metin kutusu 1"/>
        <xdr:cNvSpPr txBox="1"/>
      </xdr:nvSpPr>
      <xdr:spPr>
        <a:xfrm>
          <a:off x="5934075" y="876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tr-T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3</xdr:row>
          <xdr:rowOff>0</xdr:rowOff>
        </xdr:from>
        <xdr:to>
          <xdr:col>15</xdr:col>
          <xdr:colOff>0</xdr:colOff>
          <xdr:row>19</xdr:row>
          <xdr:rowOff>180975</xdr:rowOff>
        </xdr:to>
        <xdr:sp macro="" textlink="">
          <xdr:nvSpPr>
            <xdr:cNvPr id="1037" name="VLCPlugin21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3" name="PersonelGiderleri" displayName="PersonelGiderleri" ref="A1:E5" totalsRowCount="1">
  <autoFilter ref="A1:E4"/>
  <tableColumns count="5">
    <tableColumn id="1" name="PERSONEL GİDERLERİ" totalsRowLabel="Toplam Personel Giderleri"/>
    <tableColumn id="2" name="TAHMİNİ" totalsRowFunction="sum"/>
    <tableColumn id="3" name="GERÇEK" totalsRowFunction="sum"/>
    <tableColumn id="4" name="EN YÜKSEK 5 TUTAR">
      <calculatedColumnFormula>PersonelGiderleri[[#This Row],[GERÇEK]]+(10^-6)*ROW(PersonelGiderleri[[#This Row],[GERÇEK]])</calculatedColumnFormula>
    </tableColumn>
    <tableColumn id="5" name="FARK" totalsRowFunction="sum">
      <calculatedColumnFormula>PersonelGiderleri[[#This Row],[TAHMİNİ]]-PersonelGiderleri[[#This Row],[GERÇEK]]</calculatedColumnFormula>
    </tableColumn>
  </tableColumns>
  <tableStyleInfo showFirstColumn="0" showLastColumn="1" showRowStripes="0" showColumnStripes="0"/>
  <extLst>
    <ext xmlns:x14="http://schemas.microsoft.com/office/spreadsheetml/2009/9/main" uri="{504A1905-F514-4f6f-8877-14C23A59335A}">
      <x14:table altTextSummary="Bu tabloda Personel Giderleri, Tahmini ve Gerçek değerleri girin. Fark otomatik olarak hesaplanır"/>
    </ext>
  </extLst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table" Target="../tables/table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/>
  <dimension ref="A1:E5"/>
  <sheetViews>
    <sheetView tabSelected="1" workbookViewId="0">
      <selection activeCell="B8" sqref="B8"/>
    </sheetView>
  </sheetViews>
  <sheetFormatPr defaultRowHeight="15" x14ac:dyDescent="0.25"/>
  <cols>
    <col min="1" max="1" width="24.140625" customWidth="1"/>
    <col min="2" max="2" width="18.42578125" customWidth="1"/>
  </cols>
  <sheetData>
    <row r="1" spans="1:5" x14ac:dyDescent="0.25">
      <c r="A1" t="s">
        <v>3</v>
      </c>
      <c r="B1" t="s">
        <v>0</v>
      </c>
      <c r="C1" t="s">
        <v>1</v>
      </c>
      <c r="D1" t="s">
        <v>4</v>
      </c>
      <c r="E1" t="s">
        <v>2</v>
      </c>
    </row>
    <row r="2" spans="1:5" x14ac:dyDescent="0.25">
      <c r="A2" t="s">
        <v>5</v>
      </c>
      <c r="B2">
        <v>9500</v>
      </c>
      <c r="C2">
        <v>9600</v>
      </c>
      <c r="D2">
        <f>PersonelGiderleri[[#This Row],[GERÇEK]]+(10^-6)*ROW(PersonelGiderleri[[#This Row],[GERÇEK]])</f>
        <v>9600.0000020000007</v>
      </c>
      <c r="E2">
        <f>PersonelGiderleri[[#This Row],[TAHMİNİ]]-PersonelGiderleri[[#This Row],[GERÇEK]]</f>
        <v>-100</v>
      </c>
    </row>
    <row r="3" spans="1:5" x14ac:dyDescent="0.25">
      <c r="A3" t="s">
        <v>6</v>
      </c>
      <c r="B3">
        <v>4000</v>
      </c>
      <c r="C3">
        <v>0</v>
      </c>
      <c r="D3">
        <f>PersonelGiderleri[[#This Row],[GERÇEK]]+(10^-6)*ROW(PersonelGiderleri[[#This Row],[GERÇEK]])</f>
        <v>3.0000000000000001E-6</v>
      </c>
      <c r="E3">
        <f>PersonelGiderleri[[#This Row],[TAHMİNİ]]-PersonelGiderleri[[#This Row],[GERÇEK]]</f>
        <v>4000</v>
      </c>
    </row>
    <row r="4" spans="1:5" x14ac:dyDescent="0.25">
      <c r="A4" t="s">
        <v>7</v>
      </c>
      <c r="B4">
        <v>5000</v>
      </c>
      <c r="C4">
        <v>4500</v>
      </c>
      <c r="D4">
        <f>PersonelGiderleri[[#This Row],[GERÇEK]]+(10^-6)*ROW(PersonelGiderleri[[#This Row],[GERÇEK]])</f>
        <v>4500.0000040000004</v>
      </c>
      <c r="E4">
        <f>PersonelGiderleri[[#This Row],[TAHMİNİ]]-PersonelGiderleri[[#This Row],[GERÇEK]]</f>
        <v>500</v>
      </c>
    </row>
    <row r="5" spans="1:5" x14ac:dyDescent="0.25">
      <c r="A5" t="s">
        <v>8</v>
      </c>
      <c r="B5">
        <f>SUBTOTAL(109,PersonelGiderleri[TAHMİNİ])</f>
        <v>18500</v>
      </c>
      <c r="C5">
        <f>SUBTOTAL(109,PersonelGiderleri[GERÇEK])</f>
        <v>14100</v>
      </c>
      <c r="E5">
        <f>SUBTOTAL(109,PersonelGiderleri[FARK])</f>
        <v>4400</v>
      </c>
    </row>
  </sheetData>
  <dataValidations count="5">
    <dataValidation allowBlank="1" showInputMessage="1" showErrorMessage="1" prompt="Tahmini ve Gerçek Personel Giderlerinin Farkı, bu sütundaki bu başlığın altında otomatik olarak hesaplanır" sqref="E1"/>
    <dataValidation allowBlank="1" showInputMessage="1" showErrorMessage="1" prompt="Bu sütundaki bu başlığın altına Gerçek tutarı girin" sqref="C1"/>
    <dataValidation allowBlank="1" showInputMessage="1" showErrorMessage="1" prompt="Bu sütundaki bu başlığın altına Tahmini tutarı girin" sqref="B1"/>
    <dataValidation allowBlank="1" showInputMessage="1" showErrorMessage="1" prompt="Bu sütundaki bu başlığın altına Personel Giderlerini girin. Belirli girdileri bulmak için başlık filtrelerini kullanın" sqref="A1"/>
    <dataValidation allowBlank="1" showInputMessage="1" showErrorMessage="1" errorTitle="UYARI" error="Bu hücre otomatik olarak doldurulmuştur ve hücrenin üzerine yazılmamalıdır. Bu hücrenin üzerine yazılırsa bu çalışma sayfasındaki hesaplamalar bozulabilir." sqref="E2:E4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VLCPlugin21">
          <controlPr defaultSize="0" autoLine="0" r:id="rId5">
            <anchor moveWithCells="1">
              <from>
                <xdr:col>6</xdr:col>
                <xdr:colOff>447675</xdr:colOff>
                <xdr:row>3</xdr:row>
                <xdr:rowOff>0</xdr:rowOff>
              </from>
              <to>
                <xdr:col>15</xdr:col>
                <xdr:colOff>0</xdr:colOff>
                <xdr:row>19</xdr:row>
                <xdr:rowOff>180975</xdr:rowOff>
              </to>
            </anchor>
          </controlPr>
        </control>
      </mc:Choice>
      <mc:Fallback>
        <control shapeId="1037" r:id="rId4" name="VLCPlugin21"/>
      </mc:Fallback>
    </mc:AlternateContent>
    <mc:AlternateContent xmlns:mc="http://schemas.openxmlformats.org/markup-compatibility/2006">
      <mc:Choice Requires="x14">
        <control shapeId="1027" r:id="rId6" name="stopVideo">
          <controlPr defaultSize="0" autoLine="0" autoPict="0" r:id="rId7">
            <anchor moveWithCells="1">
              <from>
                <xdr:col>9</xdr:col>
                <xdr:colOff>9525</xdr:colOff>
                <xdr:row>0</xdr:row>
                <xdr:rowOff>85725</xdr:rowOff>
              </from>
              <to>
                <xdr:col>11</xdr:col>
                <xdr:colOff>142875</xdr:colOff>
                <xdr:row>2</xdr:row>
                <xdr:rowOff>104775</xdr:rowOff>
              </to>
            </anchor>
          </controlPr>
        </control>
      </mc:Choice>
      <mc:Fallback>
        <control shapeId="1027" r:id="rId6" name="stopVideo"/>
      </mc:Fallback>
    </mc:AlternateContent>
    <mc:AlternateContent xmlns:mc="http://schemas.openxmlformats.org/markup-compatibility/2006">
      <mc:Choice Requires="x14">
        <control shapeId="1026" r:id="rId8" name="openVideo">
          <controlPr defaultSize="0" autoLine="0" r:id="rId9">
            <anchor moveWithCells="1">
              <from>
                <xdr:col>6</xdr:col>
                <xdr:colOff>438150</xdr:colOff>
                <xdr:row>0</xdr:row>
                <xdr:rowOff>85725</xdr:rowOff>
              </from>
              <to>
                <xdr:col>8</xdr:col>
                <xdr:colOff>542925</xdr:colOff>
                <xdr:row>2</xdr:row>
                <xdr:rowOff>104775</xdr:rowOff>
              </to>
            </anchor>
          </controlPr>
        </control>
      </mc:Choice>
      <mc:Fallback>
        <control shapeId="1026" r:id="rId8" name="openVideo"/>
      </mc:Fallback>
    </mc:AlternateContent>
  </controls>
  <tableParts count="1"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ayhan_arici@hotmail.com</dc:creator>
  <cp:lastModifiedBy>ayhan_arici@hotmail.com</cp:lastModifiedBy>
  <dcterms:created xsi:type="dcterms:W3CDTF">2023-03-04T10:24:46Z</dcterms:created>
  <dcterms:modified xsi:type="dcterms:W3CDTF">2023-03-04T11:35:31Z</dcterms:modified>
</cp:coreProperties>
</file>